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45D320472A1C89/Documents/"/>
    </mc:Choice>
  </mc:AlternateContent>
  <xr:revisionPtr revIDLastSave="342" documentId="8_{FC4E31C0-D262-4C79-A3D4-BBDF69D72080}" xr6:coauthVersionLast="47" xr6:coauthVersionMax="47" xr10:uidLastSave="{824E61FF-6EDC-4CC8-BD82-5D9E860856FE}"/>
  <bookViews>
    <workbookView xWindow="-108" yWindow="-108" windowWidth="23256" windowHeight="12456" xr2:uid="{6FEAF0CB-72C6-4FFE-B32C-9FBB20A8B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0" i="1"/>
  <c r="G34" i="1"/>
  <c r="G28" i="1"/>
  <c r="M14" i="1"/>
  <c r="M15" i="1"/>
  <c r="M13" i="1"/>
  <c r="C15" i="1"/>
  <c r="I13" i="1"/>
  <c r="C14" i="1"/>
  <c r="C13" i="1"/>
  <c r="F14" i="1"/>
  <c r="F13" i="1"/>
  <c r="I14" i="1"/>
  <c r="I15" i="1"/>
  <c r="F15" i="1"/>
</calcChain>
</file>

<file path=xl/sharedStrings.xml><?xml version="1.0" encoding="utf-8"?>
<sst xmlns="http://schemas.openxmlformats.org/spreadsheetml/2006/main" count="136" uniqueCount="54">
  <si>
    <t>name</t>
  </si>
  <si>
    <t>department_id</t>
  </si>
  <si>
    <t>class teacher</t>
  </si>
  <si>
    <t>alice</t>
  </si>
  <si>
    <t>bob</t>
  </si>
  <si>
    <t>carol</t>
  </si>
  <si>
    <t>D01</t>
  </si>
  <si>
    <t>D02</t>
  </si>
  <si>
    <t>D03</t>
  </si>
  <si>
    <t>mr.smith</t>
  </si>
  <si>
    <t>mrs.johnson</t>
  </si>
  <si>
    <t>mr.davis</t>
  </si>
  <si>
    <t>john carter</t>
  </si>
  <si>
    <t>lisa</t>
  </si>
  <si>
    <t>mark lee</t>
  </si>
  <si>
    <t>HOD name</t>
  </si>
  <si>
    <t>dept_name</t>
  </si>
  <si>
    <t>major_subject</t>
  </si>
  <si>
    <t>physics</t>
  </si>
  <si>
    <t>chemistry</t>
  </si>
  <si>
    <t>mathematics</t>
  </si>
  <si>
    <t>Quantum mechanics</t>
  </si>
  <si>
    <t>organic chemistr</t>
  </si>
  <si>
    <t>calculus</t>
  </si>
  <si>
    <t>creadit</t>
  </si>
  <si>
    <t>duration</t>
  </si>
  <si>
    <t>60 days</t>
  </si>
  <si>
    <t>45 days</t>
  </si>
  <si>
    <t>80 days</t>
  </si>
  <si>
    <t>NAME</t>
  </si>
  <si>
    <t>TABLE 1</t>
  </si>
  <si>
    <t>TABLE 2</t>
  </si>
  <si>
    <t>TABLE 3</t>
  </si>
  <si>
    <t>TABLE 4</t>
  </si>
  <si>
    <t>`</t>
  </si>
  <si>
    <t>HOD  name</t>
  </si>
  <si>
    <t xml:space="preserve">name </t>
  </si>
  <si>
    <t>1 using name of student find the hod</t>
  </si>
  <si>
    <t>2 using department id find the major subject</t>
  </si>
  <si>
    <t>3 using credit find the name of department</t>
  </si>
  <si>
    <t>4 using name find the duration</t>
  </si>
  <si>
    <t>using a nested vlookup to find student name to hod</t>
  </si>
  <si>
    <t>using a nested vlookup to find department_id  to major_subject</t>
  </si>
  <si>
    <t>using a nested vlookup to find dept_name to creadit</t>
  </si>
  <si>
    <t>Convert the same data vertical to horizontal and solve the above ques using hlookup</t>
  </si>
  <si>
    <t>table 1</t>
  </si>
  <si>
    <t>table 2</t>
  </si>
  <si>
    <t>table 3</t>
  </si>
  <si>
    <t>table 4</t>
  </si>
  <si>
    <t>using a nested hlookup to find student name to hod</t>
  </si>
  <si>
    <t>using a nested hlookup to find department_id  to major_subject</t>
  </si>
  <si>
    <t>using a nested hlookup to find dept_name to creadit</t>
  </si>
  <si>
    <t>using a double nested vlookup to find student name to duration</t>
  </si>
  <si>
    <t>using a double nested hlookup to find student name to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</si>
</sst>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2"/>
      <color theme="1"/>
      <name val="Aptos"/>
      <family val="2"/>
    </font>
    <font>
      <b/>
      <u/>
      <sz val="11"/>
      <color theme="1"/>
      <name val="Aptos Narrow"/>
      <family val="2"/>
      <scheme val="minor"/>
    </font>
    <font>
      <b/>
      <u/>
      <sz val="14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left" indent="2"/>
    </xf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6" xfId="0" applyBorder="1" applyAlignment="1">
      <alignment horizontal="left" indent="2"/>
    </xf>
    <xf numFmtId="0" fontId="0" fillId="0" borderId="7" xfId="0" applyBorder="1" applyAlignment="1">
      <alignment horizontal="left" indent="2"/>
    </xf>
    <xf numFmtId="0" fontId="0" fillId="0" borderId="8" xfId="0" applyBorder="1" applyAlignment="1">
      <alignment horizontal="left" indent="2"/>
    </xf>
    <xf numFmtId="0" fontId="0" fillId="0" borderId="9" xfId="0" applyBorder="1" applyAlignment="1">
      <alignment horizontal="left" indent="2"/>
    </xf>
    <xf numFmtId="0" fontId="0" fillId="2" borderId="5" xfId="0" applyFill="1" applyBorder="1" applyAlignment="1">
      <alignment horizontal="left" indent="2"/>
    </xf>
    <xf numFmtId="0" fontId="0" fillId="2" borderId="7" xfId="0" applyFill="1" applyBorder="1" applyAlignment="1">
      <alignment horizontal="left" indent="2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1" xfId="0" applyFill="1" applyBorder="1"/>
    <xf numFmtId="0" fontId="0" fillId="3" borderId="11" xfId="0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3" fillId="4" borderId="1" xfId="0" applyFont="1" applyFill="1" applyBorder="1"/>
    <xf numFmtId="0" fontId="0" fillId="2" borderId="1" xfId="0" applyFont="1" applyFill="1" applyBorder="1"/>
    <xf numFmtId="0" fontId="0" fillId="0" borderId="1" xfId="0" applyFont="1" applyBorder="1"/>
    <xf numFmtId="0" fontId="3" fillId="4" borderId="1" xfId="0" applyFont="1" applyFill="1" applyBorder="1" applyAlignment="1">
      <alignment horizontal="left" indent="2"/>
    </xf>
    <xf numFmtId="0" fontId="0" fillId="2" borderId="1" xfId="0" applyFont="1" applyFill="1" applyBorder="1" applyAlignment="1">
      <alignment horizontal="left" indent="2"/>
    </xf>
    <xf numFmtId="0" fontId="0" fillId="0" borderId="1" xfId="0" applyFont="1" applyBorder="1" applyAlignment="1">
      <alignment horizontal="left" indent="2"/>
    </xf>
    <xf numFmtId="0" fontId="3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4" borderId="15" xfId="0" applyFont="1" applyFill="1" applyBorder="1"/>
    <xf numFmtId="0" fontId="3" fillId="4" borderId="16" xfId="0" applyFont="1" applyFill="1" applyBorder="1"/>
    <xf numFmtId="0" fontId="0" fillId="2" borderId="17" xfId="0" applyFont="1" applyFill="1" applyBorder="1"/>
    <xf numFmtId="0" fontId="0" fillId="0" borderId="18" xfId="0" applyBorder="1"/>
    <xf numFmtId="0" fontId="3" fillId="4" borderId="2" xfId="0" applyFont="1" applyFill="1" applyBorder="1"/>
    <xf numFmtId="0" fontId="3" fillId="4" borderId="4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6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</cellXfs>
  <cellStyles count="1">
    <cellStyle name="Normal" xfId="0" builtinId="0"/>
  </cellStyles>
  <dxfs count="51"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4</xdr:row>
      <xdr:rowOff>30480</xdr:rowOff>
    </xdr:from>
    <xdr:to>
      <xdr:col>2</xdr:col>
      <xdr:colOff>22860</xdr:colOff>
      <xdr:row>7</xdr:row>
      <xdr:rowOff>53340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6C1D55F-48E8-AA52-ABC5-E12AC50F1316}"/>
            </a:ext>
          </a:extLst>
        </xdr:cNvPr>
        <xdr:cNvCxnSpPr/>
      </xdr:nvCxnSpPr>
      <xdr:spPr>
        <a:xfrm>
          <a:off x="541020" y="762000"/>
          <a:ext cx="1135380" cy="571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289560</xdr:colOff>
      <xdr:row>3</xdr:row>
      <xdr:rowOff>152400</xdr:rowOff>
    </xdr:from>
    <xdr:to>
      <xdr:col>4</xdr:col>
      <xdr:colOff>1028700</xdr:colOff>
      <xdr:row>7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F625C2B-1E59-3982-CB62-0AC8D623FEDF}"/>
            </a:ext>
          </a:extLst>
        </xdr:cNvPr>
        <xdr:cNvCxnSpPr/>
      </xdr:nvCxnSpPr>
      <xdr:spPr>
        <a:xfrm>
          <a:off x="3505200" y="701040"/>
          <a:ext cx="739140" cy="5791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449580</xdr:colOff>
      <xdr:row>4</xdr:row>
      <xdr:rowOff>15240</xdr:rowOff>
    </xdr:from>
    <xdr:to>
      <xdr:col>8</xdr:col>
      <xdr:colOff>182880</xdr:colOff>
      <xdr:row>7</xdr:row>
      <xdr:rowOff>22860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AE7C793-B70F-57BA-896D-712B8607D31A}"/>
            </a:ext>
          </a:extLst>
        </xdr:cNvPr>
        <xdr:cNvCxnSpPr/>
      </xdr:nvCxnSpPr>
      <xdr:spPr>
        <a:xfrm>
          <a:off x="7162800" y="746760"/>
          <a:ext cx="571500" cy="5562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4</xdr:row>
      <xdr:rowOff>22860</xdr:rowOff>
    </xdr:from>
    <xdr:to>
      <xdr:col>11</xdr:col>
      <xdr:colOff>1272540</xdr:colOff>
      <xdr:row>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87F25F7-ADFE-2EFB-1CC1-FB6863295AAD}"/>
            </a:ext>
          </a:extLst>
        </xdr:cNvPr>
        <xdr:cNvCxnSpPr/>
      </xdr:nvCxnSpPr>
      <xdr:spPr>
        <a:xfrm>
          <a:off x="10744200" y="754380"/>
          <a:ext cx="1082040" cy="525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236220</xdr:colOff>
      <xdr:row>15</xdr:row>
      <xdr:rowOff>22860</xdr:rowOff>
    </xdr:from>
    <xdr:to>
      <xdr:col>1</xdr:col>
      <xdr:colOff>1028700</xdr:colOff>
      <xdr:row>18</xdr:row>
      <xdr:rowOff>15240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40BF912-9F1F-06E8-3D71-F01AA8F2E165}"/>
            </a:ext>
          </a:extLst>
        </xdr:cNvPr>
        <xdr:cNvCxnSpPr/>
      </xdr:nvCxnSpPr>
      <xdr:spPr>
        <a:xfrm>
          <a:off x="845820" y="2781300"/>
          <a:ext cx="792480" cy="5562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655320</xdr:colOff>
      <xdr:row>14</xdr:row>
      <xdr:rowOff>175260</xdr:rowOff>
    </xdr:from>
    <xdr:to>
      <xdr:col>5</xdr:col>
      <xdr:colOff>342900</xdr:colOff>
      <xdr:row>18</xdr:row>
      <xdr:rowOff>45720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36BC8551-B81E-1A08-BFE2-4979966B92BF}"/>
            </a:ext>
          </a:extLst>
        </xdr:cNvPr>
        <xdr:cNvCxnSpPr/>
      </xdr:nvCxnSpPr>
      <xdr:spPr>
        <a:xfrm>
          <a:off x="3870960" y="2750820"/>
          <a:ext cx="731520" cy="6172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518160</xdr:colOff>
      <xdr:row>15</xdr:row>
      <xdr:rowOff>38100</xdr:rowOff>
    </xdr:from>
    <xdr:to>
      <xdr:col>8</xdr:col>
      <xdr:colOff>495300</xdr:colOff>
      <xdr:row>18</xdr:row>
      <xdr:rowOff>22860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84E5976-7906-5175-510A-36A3099D426C}"/>
            </a:ext>
          </a:extLst>
        </xdr:cNvPr>
        <xdr:cNvCxnSpPr/>
      </xdr:nvCxnSpPr>
      <xdr:spPr>
        <a:xfrm>
          <a:off x="7231380" y="2796540"/>
          <a:ext cx="815340" cy="548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467445</xdr:colOff>
      <xdr:row>15</xdr:row>
      <xdr:rowOff>51227</xdr:rowOff>
    </xdr:from>
    <xdr:to>
      <xdr:col>11</xdr:col>
      <xdr:colOff>1255059</xdr:colOff>
      <xdr:row>18</xdr:row>
      <xdr:rowOff>12806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D76DE70-295A-FB0F-9B3E-C8BB33B7A514}"/>
            </a:ext>
          </a:extLst>
        </xdr:cNvPr>
        <xdr:cNvCxnSpPr/>
      </xdr:nvCxnSpPr>
      <xdr:spPr>
        <a:xfrm>
          <a:off x="12217613" y="2887916"/>
          <a:ext cx="787614" cy="53788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317500</xdr:colOff>
      <xdr:row>24</xdr:row>
      <xdr:rowOff>139700</xdr:rowOff>
    </xdr:from>
    <xdr:to>
      <xdr:col>1</xdr:col>
      <xdr:colOff>44450</xdr:colOff>
      <xdr:row>25</xdr:row>
      <xdr:rowOff>177800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0FAE57A-6350-0B55-DE89-69FF88CB95F5}"/>
            </a:ext>
          </a:extLst>
        </xdr:cNvPr>
        <xdr:cNvCxnSpPr/>
      </xdr:nvCxnSpPr>
      <xdr:spPr>
        <a:xfrm flipV="1">
          <a:off x="317500" y="4718050"/>
          <a:ext cx="78105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203200</xdr:colOff>
      <xdr:row>41</xdr:row>
      <xdr:rowOff>95250</xdr:rowOff>
    </xdr:from>
    <xdr:to>
      <xdr:col>1</xdr:col>
      <xdr:colOff>57150</xdr:colOff>
      <xdr:row>43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002830A-6BF3-0DB4-FA20-0723BFE345C7}"/>
            </a:ext>
          </a:extLst>
        </xdr:cNvPr>
        <xdr:cNvCxnSpPr/>
      </xdr:nvCxnSpPr>
      <xdr:spPr>
        <a:xfrm flipV="1">
          <a:off x="203200" y="7835900"/>
          <a:ext cx="908050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234950</xdr:colOff>
      <xdr:row>35</xdr:row>
      <xdr:rowOff>82550</xdr:rowOff>
    </xdr:from>
    <xdr:to>
      <xdr:col>1</xdr:col>
      <xdr:colOff>0</xdr:colOff>
      <xdr:row>36</xdr:row>
      <xdr:rowOff>171450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A418828-0C24-143C-DE58-C379FE81AE31}"/>
            </a:ext>
          </a:extLst>
        </xdr:cNvPr>
        <xdr:cNvCxnSpPr/>
      </xdr:nvCxnSpPr>
      <xdr:spPr>
        <a:xfrm flipV="1">
          <a:off x="234950" y="6718300"/>
          <a:ext cx="819150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260350</xdr:colOff>
      <xdr:row>30</xdr:row>
      <xdr:rowOff>50800</xdr:rowOff>
    </xdr:from>
    <xdr:to>
      <xdr:col>1</xdr:col>
      <xdr:colOff>57150</xdr:colOff>
      <xdr:row>31</xdr:row>
      <xdr:rowOff>177800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2A816F3-748C-8C7F-31E8-E4BAF7EFAEAB}"/>
            </a:ext>
          </a:extLst>
        </xdr:cNvPr>
        <xdr:cNvCxnSpPr/>
      </xdr:nvCxnSpPr>
      <xdr:spPr>
        <a:xfrm flipV="1">
          <a:off x="260350" y="5753100"/>
          <a:ext cx="850900" cy="3111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50800</xdr:colOff>
      <xdr:row>26</xdr:row>
      <xdr:rowOff>19050</xdr:rowOff>
    </xdr:from>
    <xdr:to>
      <xdr:col>8</xdr:col>
      <xdr:colOff>0</xdr:colOff>
      <xdr:row>27</xdr:row>
      <xdr:rowOff>158750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204DBD20-6B7F-1409-3F2B-E81FE0DEB634}"/>
            </a:ext>
          </a:extLst>
        </xdr:cNvPr>
        <xdr:cNvCxnSpPr/>
      </xdr:nvCxnSpPr>
      <xdr:spPr>
        <a:xfrm>
          <a:off x="7931150" y="4991100"/>
          <a:ext cx="939800" cy="3302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88900</xdr:colOff>
      <xdr:row>32</xdr:row>
      <xdr:rowOff>12700</xdr:rowOff>
    </xdr:from>
    <xdr:to>
      <xdr:col>7</xdr:col>
      <xdr:colOff>971550</xdr:colOff>
      <xdr:row>33</xdr:row>
      <xdr:rowOff>177800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82B3699F-14B2-2B79-66A9-60B2C3AE5E13}"/>
            </a:ext>
          </a:extLst>
        </xdr:cNvPr>
        <xdr:cNvCxnSpPr/>
      </xdr:nvCxnSpPr>
      <xdr:spPr>
        <a:xfrm>
          <a:off x="7969250" y="6121400"/>
          <a:ext cx="882650" cy="3556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37</xdr:row>
      <xdr:rowOff>177800</xdr:rowOff>
    </xdr:from>
    <xdr:to>
      <xdr:col>7</xdr:col>
      <xdr:colOff>965200</xdr:colOff>
      <xdr:row>39</xdr:row>
      <xdr:rowOff>184150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7E65212C-F44E-662F-40FD-870931A7AB67}"/>
            </a:ext>
          </a:extLst>
        </xdr:cNvPr>
        <xdr:cNvCxnSpPr/>
      </xdr:nvCxnSpPr>
      <xdr:spPr>
        <a:xfrm>
          <a:off x="7899400" y="7232650"/>
          <a:ext cx="946150" cy="38100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44</xdr:row>
      <xdr:rowOff>6350</xdr:rowOff>
    </xdr:from>
    <xdr:to>
      <xdr:col>8</xdr:col>
      <xdr:colOff>31750</xdr:colOff>
      <xdr:row>45</xdr:row>
      <xdr:rowOff>184150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651753FE-95C5-4673-887F-22449FF20F07}"/>
            </a:ext>
          </a:extLst>
        </xdr:cNvPr>
        <xdr:cNvCxnSpPr/>
      </xdr:nvCxnSpPr>
      <xdr:spPr>
        <a:xfrm>
          <a:off x="7886700" y="8375650"/>
          <a:ext cx="1016000" cy="36830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F19B99-5A5D-481F-97C9-BE3791BD7D22}" name="Table2" displayName="Table2" ref="A1:C4" totalsRowShown="0" headerRowDxfId="50" headerRowBorderDxfId="49" tableBorderDxfId="48" totalsRowBorderDxfId="47">
  <autoFilter ref="A1:C4" xr:uid="{4AF19B99-5A5D-481F-97C9-BE3791BD7D22}"/>
  <tableColumns count="3">
    <tableColumn id="1" xr3:uid="{1999D9C4-D5AF-4FFA-9B93-B6C2389D0326}" name="name" dataDxfId="46"/>
    <tableColumn id="2" xr3:uid="{2F31EA93-3AB2-4556-9AF3-948E133385A4}" name="department_id" dataDxfId="45"/>
    <tableColumn id="3" xr3:uid="{33A518C2-49E1-4740-BA2A-8C26B39BD13F}" name="class teacher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E890AF-05F3-4FF6-AAF5-72E2A1AD9F0D}" name="Table3" displayName="Table3" ref="E1:F4" totalsRowShown="0" headerRowDxfId="43" headerRowBorderDxfId="42" tableBorderDxfId="41" totalsRowBorderDxfId="40">
  <autoFilter ref="E1:F4" xr:uid="{4CE890AF-05F3-4FF6-AAF5-72E2A1AD9F0D}"/>
  <tableColumns count="2">
    <tableColumn id="1" xr3:uid="{7BA94376-270A-48B2-B104-F08CA7BD6BF8}" name="department_id" dataDxfId="39"/>
    <tableColumn id="2" xr3:uid="{FC282983-A730-4719-A627-A4C5543FC0CA}" name="HOD name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12C792-FF80-4CA0-BE4F-DB25FCCBC634}" name="Table4" displayName="Table4" ref="H1:J4" totalsRowShown="0" headerRowDxfId="37" dataDxfId="35" headerRowBorderDxfId="36" tableBorderDxfId="34" totalsRowBorderDxfId="33">
  <autoFilter ref="H1:J4" xr:uid="{4F12C792-FF80-4CA0-BE4F-DB25FCCBC634}"/>
  <tableColumns count="3">
    <tableColumn id="1" xr3:uid="{90B02C44-2A52-4FB6-BEB0-30FF41625CFC}" name="HOD name" dataDxfId="32"/>
    <tableColumn id="2" xr3:uid="{089B6B26-55EE-4EB7-9A1D-E7A1EAF56BAD}" name="dept_name" dataDxfId="31"/>
    <tableColumn id="3" xr3:uid="{B87C4B43-9B9E-4F80-BF8E-70BD5A08D92F}" name="major_subject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C1DA3F-82D6-4142-8519-E0AEA6065ACF}" name="Table5" displayName="Table5" ref="L1:N4" totalsRowShown="0" headerRowDxfId="29" headerRowBorderDxfId="28" tableBorderDxfId="27" totalsRowBorderDxfId="26">
  <autoFilter ref="L1:N4" xr:uid="{7FC1DA3F-82D6-4142-8519-E0AEA6065ACF}"/>
  <tableColumns count="3">
    <tableColumn id="1" xr3:uid="{1023446E-D16A-4E78-AC58-DF96AE351287}" name="major_subject" dataDxfId="25"/>
    <tableColumn id="2" xr3:uid="{D05A5665-E46A-409B-8356-2DF17FDFBF7D}" name="creadit" dataDxfId="24"/>
    <tableColumn id="3" xr3:uid="{19235CB1-8DFF-4028-8D0D-D8758DFD9893}" name="duration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593210-4861-426A-A152-BE4F66050A20}" name="Table10" displayName="Table10" ref="B12:C15" totalsRowShown="0">
  <autoFilter ref="B12:C15" xr:uid="{32593210-4861-426A-A152-BE4F66050A20}"/>
  <tableColumns count="2">
    <tableColumn id="1" xr3:uid="{683F2AFF-A09B-4ED0-98DC-8A260362D8F6}" name="NAME"/>
    <tableColumn id="2" xr3:uid="{EBA29866-A425-4348-AEB8-B24F5CCAA1B9}" name="HOD  name">
      <calculatedColumnFormula>VLOOKUP(VLOOKUP(B13,Table2[#All],2,0),Table3[#All],2,0)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DABA5B-6648-4DC0-B86B-8FCEB410525B}" name="Table11" displayName="Table11" ref="E12:F15" totalsRowShown="0" headerRowDxfId="22" headerRowBorderDxfId="21" tableBorderDxfId="20" totalsRowBorderDxfId="19">
  <autoFilter ref="E12:F15" xr:uid="{7CDABA5B-6648-4DC0-B86B-8FCEB410525B}"/>
  <tableColumns count="2">
    <tableColumn id="1" xr3:uid="{E72B3D24-4EBD-4F9C-8F5A-290CB364A504}" name="department_id" dataDxfId="18"/>
    <tableColumn id="2" xr3:uid="{3B70629D-173D-4B80-8A1A-FE43979325FD}" name="major_subject" dataDxfId="17">
      <calculatedColumnFormula>VLOOKUP(VLOOKUP(E13,Table3[#All],2,0),Table4[#All],3,0)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6C7365-D296-45C1-807C-9FCC5BB25273}" name="Table12" displayName="Table12" ref="H12:I15" totalsRowShown="0" headerRowDxfId="16" headerRowBorderDxfId="15" tableBorderDxfId="14" totalsRowBorderDxfId="13">
  <autoFilter ref="H12:I15" xr:uid="{626C7365-D296-45C1-807C-9FCC5BB25273}"/>
  <tableColumns count="2">
    <tableColumn id="1" xr3:uid="{3BA473BD-89AC-4944-A1FB-8A576DE886DB}" name="dept_name" dataDxfId="12"/>
    <tableColumn id="2" xr3:uid="{B6E2B73E-F693-4BA3-BB4A-4FC96D164FCF}" name="creadit" dataDxfId="11">
      <calculatedColumnFormula>VLOOKUP(VLOOKUP(H13,Table4[[#All],[dept_name]:[major_subject]],2,0),Table5[#All],2,0)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80FC0-734E-483B-8FF5-FF49C2CCDC71}" name="Table1" displayName="Table1" ref="L12:M15" totalsRowShown="0" headerRowDxfId="5" headerRowBorderDxfId="9" tableBorderDxfId="10" totalsRowBorderDxfId="8">
  <autoFilter ref="L12:M15" xr:uid="{3A880FC0-734E-483B-8FF5-FF49C2CCDC71}"/>
  <tableColumns count="2">
    <tableColumn id="1" xr3:uid="{90DB7595-0BC0-40DB-9807-5FB0E1B3C54E}" name="name " dataDxfId="7"/>
    <tableColumn id="2" xr3:uid="{00AF815C-0110-446C-B0E2-78657DA494B9}" name="duration" dataDxfId="6">
      <calculatedColumnFormula>(VLOOKUP(VLOOKUP(VLOOKUP(VLOOKUP(L13,Table2[#All],2,0),Table3[#All],2,0),Table4[#All],3,0),Table5[#All],3,0))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9BCA00-A558-42B0-B085-3FF7FD35164D}" name="Table6" displayName="Table6" ref="F45:G46" totalsRowShown="0" headerRowBorderDxfId="3" tableBorderDxfId="4" totalsRowBorderDxfId="2">
  <autoFilter ref="F45:G46" xr:uid="{719BCA00-A558-42B0-B085-3FF7FD35164D}"/>
  <tableColumns count="2">
    <tableColumn id="1" xr3:uid="{E5633BE2-8B7D-440E-9063-E64FFAA317BE}" name="name " dataDxfId="1"/>
    <tableColumn id="2" xr3:uid="{250DE3AA-BC44-4625-B736-CAAA8DE1353E}" name="duration" dataDxfId="0">
      <calculatedColumnFormula>(HLOOKUP(HLOOKUP(HLOOKUP(HLOOKUP(F46,A27:D29,2,0),A33:D34,2,0),A38:D40,3,0),A44:D46,3,0))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6C27-BEE5-4A19-8FAE-CFD997F09EA2}">
  <dimension ref="A1:Q46"/>
  <sheetViews>
    <sheetView tabSelected="1" zoomScale="120" workbookViewId="0">
      <selection activeCell="I43" sqref="I43"/>
    </sheetView>
  </sheetViews>
  <sheetFormatPr defaultRowHeight="14.4" x14ac:dyDescent="0.3"/>
  <cols>
    <col min="1" max="1" width="15.33203125" customWidth="1"/>
    <col min="2" max="2" width="15.21875" customWidth="1"/>
    <col min="3" max="3" width="13.88671875" customWidth="1"/>
    <col min="4" max="4" width="14.21875" customWidth="1"/>
    <col min="5" max="5" width="18.5546875" customWidth="1"/>
    <col min="6" max="6" width="19.77734375" customWidth="1"/>
    <col min="7" max="7" width="17.88671875" customWidth="1"/>
    <col min="8" max="8" width="14.44140625" customWidth="1"/>
    <col min="9" max="9" width="14.33203125" customWidth="1"/>
    <col min="10" max="10" width="20.5546875" customWidth="1"/>
    <col min="12" max="12" width="18.6640625" customWidth="1"/>
    <col min="13" max="13" width="11.77734375" style="2" customWidth="1"/>
    <col min="14" max="14" width="14.33203125" customWidth="1"/>
    <col min="16" max="16" width="14.44140625" customWidth="1"/>
  </cols>
  <sheetData>
    <row r="1" spans="1:14" x14ac:dyDescent="0.3">
      <c r="A1" s="3" t="s">
        <v>0</v>
      </c>
      <c r="B1" s="4" t="s">
        <v>1</v>
      </c>
      <c r="C1" s="5" t="s">
        <v>2</v>
      </c>
      <c r="E1" s="3" t="s">
        <v>1</v>
      </c>
      <c r="F1" s="5" t="s">
        <v>15</v>
      </c>
      <c r="G1" s="11"/>
      <c r="H1" s="16" t="s">
        <v>15</v>
      </c>
      <c r="I1" s="17" t="s">
        <v>16</v>
      </c>
      <c r="J1" s="18" t="s">
        <v>17</v>
      </c>
      <c r="L1" s="3" t="s">
        <v>17</v>
      </c>
      <c r="M1" s="12" t="s">
        <v>24</v>
      </c>
      <c r="N1" s="5" t="s">
        <v>25</v>
      </c>
    </row>
    <row r="2" spans="1:14" x14ac:dyDescent="0.3">
      <c r="A2" s="6" t="s">
        <v>3</v>
      </c>
      <c r="B2" s="7" t="s">
        <v>6</v>
      </c>
      <c r="C2" s="8" t="s">
        <v>9</v>
      </c>
      <c r="E2" s="6" t="s">
        <v>6</v>
      </c>
      <c r="F2" s="8" t="s">
        <v>12</v>
      </c>
      <c r="H2" s="19" t="s">
        <v>12</v>
      </c>
      <c r="I2" s="20" t="s">
        <v>18</v>
      </c>
      <c r="J2" s="21" t="s">
        <v>21</v>
      </c>
      <c r="L2" s="6" t="s">
        <v>21</v>
      </c>
      <c r="M2" s="13">
        <v>4</v>
      </c>
      <c r="N2" s="8" t="s">
        <v>26</v>
      </c>
    </row>
    <row r="3" spans="1:14" x14ac:dyDescent="0.3">
      <c r="A3" s="6" t="s">
        <v>4</v>
      </c>
      <c r="B3" s="7" t="s">
        <v>7</v>
      </c>
      <c r="C3" s="8" t="s">
        <v>10</v>
      </c>
      <c r="E3" s="6" t="s">
        <v>7</v>
      </c>
      <c r="F3" s="8" t="s">
        <v>13</v>
      </c>
      <c r="H3" s="19" t="s">
        <v>13</v>
      </c>
      <c r="I3" s="20" t="s">
        <v>19</v>
      </c>
      <c r="J3" s="21" t="s">
        <v>22</v>
      </c>
      <c r="L3" s="6" t="s">
        <v>22</v>
      </c>
      <c r="M3" s="13">
        <v>3</v>
      </c>
      <c r="N3" s="8" t="s">
        <v>27</v>
      </c>
    </row>
    <row r="4" spans="1:14" x14ac:dyDescent="0.3">
      <c r="A4" s="6" t="s">
        <v>5</v>
      </c>
      <c r="B4" s="7" t="s">
        <v>8</v>
      </c>
      <c r="C4" s="8" t="s">
        <v>11</v>
      </c>
      <c r="E4" s="6" t="s">
        <v>8</v>
      </c>
      <c r="F4" s="10" t="s">
        <v>14</v>
      </c>
      <c r="H4" s="22" t="s">
        <v>14</v>
      </c>
      <c r="I4" s="23" t="s">
        <v>20</v>
      </c>
      <c r="J4" s="24" t="s">
        <v>23</v>
      </c>
      <c r="L4" s="9" t="s">
        <v>23</v>
      </c>
      <c r="M4" s="14">
        <v>5</v>
      </c>
      <c r="N4" s="10" t="s">
        <v>28</v>
      </c>
    </row>
    <row r="7" spans="1:14" ht="15" thickBot="1" x14ac:dyDescent="0.35"/>
    <row r="8" spans="1:14" ht="15" thickBot="1" x14ac:dyDescent="0.35">
      <c r="C8" s="30" t="s">
        <v>30</v>
      </c>
      <c r="F8" s="30" t="s">
        <v>31</v>
      </c>
      <c r="I8" s="30" t="s">
        <v>32</v>
      </c>
      <c r="M8" s="31" t="s">
        <v>33</v>
      </c>
    </row>
    <row r="9" spans="1:14" ht="15" thickBot="1" x14ac:dyDescent="0.35"/>
    <row r="10" spans="1:14" ht="16.2" thickBot="1" x14ac:dyDescent="0.35">
      <c r="A10" s="53" t="s">
        <v>37</v>
      </c>
      <c r="B10" s="54"/>
      <c r="C10" s="55"/>
      <c r="E10" s="53" t="s">
        <v>38</v>
      </c>
      <c r="F10" s="54"/>
      <c r="G10" s="55"/>
      <c r="I10" s="53" t="s">
        <v>39</v>
      </c>
      <c r="J10" s="54"/>
      <c r="K10" s="55"/>
      <c r="M10" s="56" t="s">
        <v>40</v>
      </c>
      <c r="N10" s="57"/>
    </row>
    <row r="11" spans="1:14" ht="15" x14ac:dyDescent="0.35">
      <c r="B11" s="1"/>
      <c r="C11" t="s">
        <v>34</v>
      </c>
    </row>
    <row r="12" spans="1:14" ht="15" x14ac:dyDescent="0.35">
      <c r="B12" s="1" t="s">
        <v>29</v>
      </c>
      <c r="C12" t="s">
        <v>35</v>
      </c>
      <c r="E12" s="3" t="s">
        <v>1</v>
      </c>
      <c r="F12" s="5" t="s">
        <v>17</v>
      </c>
      <c r="H12" s="3" t="s">
        <v>16</v>
      </c>
      <c r="I12" s="5" t="s">
        <v>24</v>
      </c>
      <c r="L12" s="3" t="s">
        <v>36</v>
      </c>
      <c r="M12" s="27" t="s">
        <v>25</v>
      </c>
    </row>
    <row r="13" spans="1:14" x14ac:dyDescent="0.3">
      <c r="B13" s="15" t="s">
        <v>3</v>
      </c>
      <c r="C13" t="str">
        <f>VLOOKUP(VLOOKUP(B13,Table2[#All],2,0),Table3[#All],2,0)</f>
        <v>john carter</v>
      </c>
      <c r="E13" s="6" t="s">
        <v>6</v>
      </c>
      <c r="F13" s="8" t="str">
        <f>VLOOKUP(VLOOKUP(E13,Table3[#All],2,0),Table4[#All],3,0)</f>
        <v>Quantum mechanics</v>
      </c>
      <c r="H13" s="25" t="s">
        <v>18</v>
      </c>
      <c r="I13" s="8">
        <f>VLOOKUP(VLOOKUP(H13,Table4[[#All],[dept_name]:[major_subject]],2,0),Table5[#All],2,0)</f>
        <v>4</v>
      </c>
      <c r="L13" s="6" t="s">
        <v>3</v>
      </c>
      <c r="M13" s="28" t="str">
        <f>(VLOOKUP(VLOOKUP(VLOOKUP(VLOOKUP(L13,Table2[#All],2,0),Table3[#All],2,0),Table4[#All],3,0),Table5[#All],3,0))</f>
        <v>60 days</v>
      </c>
    </row>
    <row r="14" spans="1:14" x14ac:dyDescent="0.3">
      <c r="B14" s="7" t="s">
        <v>4</v>
      </c>
      <c r="C14" t="str">
        <f>VLOOKUP(VLOOKUP(B14,Table2[#All],2,0),Table3[#All],2,0)</f>
        <v>lisa</v>
      </c>
      <c r="E14" s="6" t="s">
        <v>7</v>
      </c>
      <c r="F14" s="8" t="str">
        <f>VLOOKUP(VLOOKUP(E14,Table3[#All],2,0),Table4[#All],3,0)</f>
        <v>organic chemistr</v>
      </c>
      <c r="H14" s="19" t="s">
        <v>19</v>
      </c>
      <c r="I14" s="8">
        <f>VLOOKUP(VLOOKUP(H14,Table4[[#All],[dept_name]:[major_subject]],2,0),Table5[#All],2,0)</f>
        <v>3</v>
      </c>
      <c r="L14" s="6" t="s">
        <v>4</v>
      </c>
      <c r="M14" s="28" t="str">
        <f>(VLOOKUP(VLOOKUP(VLOOKUP(VLOOKUP(L14,Table2[#All],2,0),Table3[#All],2,0),Table4[#All],3,0),Table5[#All],3,0))</f>
        <v>45 days</v>
      </c>
    </row>
    <row r="15" spans="1:14" x14ac:dyDescent="0.3">
      <c r="B15" s="15" t="s">
        <v>5</v>
      </c>
      <c r="C15" t="str">
        <f>VLOOKUP(VLOOKUP(B15,Table2[#All],2,0),Table3[#All],2,0)</f>
        <v>mark lee</v>
      </c>
      <c r="E15" s="9" t="s">
        <v>8</v>
      </c>
      <c r="F15" s="10" t="str">
        <f>VLOOKUP(VLOOKUP(E15,Table3[#All],2,0),Table4[#All],3,0)</f>
        <v>calculus</v>
      </c>
      <c r="H15" s="26" t="s">
        <v>20</v>
      </c>
      <c r="I15" s="10">
        <f>VLOOKUP(VLOOKUP(H15,Table4[[#All],[dept_name]:[major_subject]],2,0),Table5[#All],2,0)</f>
        <v>5</v>
      </c>
      <c r="L15" s="9" t="s">
        <v>5</v>
      </c>
      <c r="M15" s="29" t="str">
        <f>(VLOOKUP(VLOOKUP(VLOOKUP(VLOOKUP(L15,Table2[#All],2,0),Table3[#All],2,0),Table4[#All],3,0),Table5[#All],3,0))</f>
        <v>80 days</v>
      </c>
    </row>
    <row r="16" spans="1:14" x14ac:dyDescent="0.3">
      <c r="L16" s="2"/>
      <c r="M16"/>
    </row>
    <row r="17" spans="1:17" ht="15" x14ac:dyDescent="0.35">
      <c r="B17" s="1"/>
    </row>
    <row r="18" spans="1:17" ht="15.6" thickBot="1" x14ac:dyDescent="0.4">
      <c r="B18" s="1"/>
    </row>
    <row r="19" spans="1:17" ht="15" thickBot="1" x14ac:dyDescent="0.35">
      <c r="A19" s="32" t="s">
        <v>41</v>
      </c>
      <c r="B19" s="49"/>
      <c r="C19" s="33"/>
      <c r="E19" s="32" t="s">
        <v>42</v>
      </c>
      <c r="F19" s="49"/>
      <c r="G19" s="33"/>
      <c r="I19" s="32" t="s">
        <v>43</v>
      </c>
      <c r="J19" s="49"/>
      <c r="K19" s="33"/>
      <c r="M19" s="32" t="s">
        <v>52</v>
      </c>
      <c r="N19" s="49"/>
      <c r="O19" s="49"/>
      <c r="P19" s="49"/>
      <c r="Q19" s="33"/>
    </row>
    <row r="20" spans="1:17" ht="15" x14ac:dyDescent="0.35">
      <c r="B20" s="1"/>
    </row>
    <row r="21" spans="1:17" ht="15" x14ac:dyDescent="0.35">
      <c r="B21" s="1"/>
    </row>
    <row r="22" spans="1:17" ht="15.6" thickBot="1" x14ac:dyDescent="0.4">
      <c r="B22" s="1"/>
    </row>
    <row r="23" spans="1:17" ht="18.600000000000001" thickBot="1" x14ac:dyDescent="0.35">
      <c r="A23" s="50" t="s">
        <v>44</v>
      </c>
      <c r="B23" s="51"/>
      <c r="C23" s="51"/>
      <c r="D23" s="51"/>
      <c r="E23" s="51"/>
      <c r="F23" s="52"/>
    </row>
    <row r="24" spans="1:17" ht="15.6" thickBot="1" x14ac:dyDescent="0.4">
      <c r="B24" s="1"/>
    </row>
    <row r="25" spans="1:17" ht="15.6" thickBot="1" x14ac:dyDescent="0.4">
      <c r="B25" s="58" t="s">
        <v>45</v>
      </c>
    </row>
    <row r="26" spans="1:17" ht="15" thickBot="1" x14ac:dyDescent="0.35"/>
    <row r="27" spans="1:17" ht="15" thickBot="1" x14ac:dyDescent="0.35">
      <c r="A27" s="34" t="s">
        <v>0</v>
      </c>
      <c r="B27" s="35" t="s">
        <v>3</v>
      </c>
      <c r="C27" s="36" t="s">
        <v>4</v>
      </c>
      <c r="D27" s="35" t="s">
        <v>5</v>
      </c>
      <c r="F27" s="43" t="s">
        <v>0</v>
      </c>
      <c r="G27" s="44" t="s">
        <v>15</v>
      </c>
    </row>
    <row r="28" spans="1:17" ht="15" thickBot="1" x14ac:dyDescent="0.35">
      <c r="A28" s="34" t="s">
        <v>1</v>
      </c>
      <c r="B28" s="35" t="s">
        <v>6</v>
      </c>
      <c r="C28" s="36" t="s">
        <v>7</v>
      </c>
      <c r="D28" s="35" t="s">
        <v>8</v>
      </c>
      <c r="F28" s="45" t="s">
        <v>3</v>
      </c>
      <c r="G28" s="46" t="str">
        <f>HLOOKUP(HLOOKUP(F28,A27:D29,2,0),A33:D34,2,0)</f>
        <v>john carter</v>
      </c>
      <c r="I28" s="32" t="s">
        <v>49</v>
      </c>
      <c r="J28" s="49"/>
      <c r="K28" s="33"/>
    </row>
    <row r="29" spans="1:17" x14ac:dyDescent="0.3">
      <c r="A29" s="34" t="s">
        <v>2</v>
      </c>
      <c r="B29" s="35" t="s">
        <v>9</v>
      </c>
      <c r="C29" s="36" t="s">
        <v>10</v>
      </c>
      <c r="D29" s="35" t="s">
        <v>11</v>
      </c>
    </row>
    <row r="30" spans="1:17" ht="15" thickBot="1" x14ac:dyDescent="0.35"/>
    <row r="31" spans="1:17" ht="15" thickBot="1" x14ac:dyDescent="0.35">
      <c r="B31" s="59" t="s">
        <v>46</v>
      </c>
    </row>
    <row r="32" spans="1:17" ht="15" thickBot="1" x14ac:dyDescent="0.35"/>
    <row r="33" spans="1:12" ht="15" thickBot="1" x14ac:dyDescent="0.35">
      <c r="A33" s="34" t="s">
        <v>1</v>
      </c>
      <c r="B33" s="35" t="s">
        <v>6</v>
      </c>
      <c r="C33" s="36" t="s">
        <v>7</v>
      </c>
      <c r="D33" s="35" t="s">
        <v>8</v>
      </c>
      <c r="F33" s="43" t="s">
        <v>1</v>
      </c>
      <c r="G33" s="44" t="s">
        <v>17</v>
      </c>
    </row>
    <row r="34" spans="1:12" ht="15" thickBot="1" x14ac:dyDescent="0.35">
      <c r="A34" s="34" t="s">
        <v>15</v>
      </c>
      <c r="B34" s="35" t="s">
        <v>12</v>
      </c>
      <c r="C34" s="36" t="s">
        <v>13</v>
      </c>
      <c r="D34" s="35" t="s">
        <v>14</v>
      </c>
      <c r="F34" s="45" t="s">
        <v>6</v>
      </c>
      <c r="G34" s="46" t="str">
        <f>HLOOKUP(HLOOKUP(F34,A33:D34,2,0),A38:D40,3,0)</f>
        <v>Quantum mechanics</v>
      </c>
      <c r="I34" s="60" t="s">
        <v>50</v>
      </c>
      <c r="J34" s="61"/>
      <c r="K34" s="61"/>
      <c r="L34" s="62"/>
    </row>
    <row r="35" spans="1:12" ht="15" thickBot="1" x14ac:dyDescent="0.35"/>
    <row r="36" spans="1:12" ht="15" thickBot="1" x14ac:dyDescent="0.35">
      <c r="B36" s="59" t="s">
        <v>47</v>
      </c>
    </row>
    <row r="38" spans="1:12" x14ac:dyDescent="0.3">
      <c r="A38" s="37" t="s">
        <v>15</v>
      </c>
      <c r="B38" s="38" t="s">
        <v>12</v>
      </c>
      <c r="C38" s="39" t="s">
        <v>13</v>
      </c>
      <c r="D38" s="38" t="s">
        <v>14</v>
      </c>
    </row>
    <row r="39" spans="1:12" ht="15" thickBot="1" x14ac:dyDescent="0.35">
      <c r="A39" s="37" t="s">
        <v>16</v>
      </c>
      <c r="B39" s="38" t="s">
        <v>18</v>
      </c>
      <c r="C39" s="39" t="s">
        <v>19</v>
      </c>
      <c r="D39" s="38" t="s">
        <v>20</v>
      </c>
      <c r="F39" s="34" t="s">
        <v>16</v>
      </c>
      <c r="G39" s="34" t="s">
        <v>24</v>
      </c>
    </row>
    <row r="40" spans="1:12" ht="15" thickBot="1" x14ac:dyDescent="0.35">
      <c r="A40" s="37" t="s">
        <v>17</v>
      </c>
      <c r="B40" s="38" t="s">
        <v>21</v>
      </c>
      <c r="C40" s="39" t="s">
        <v>22</v>
      </c>
      <c r="D40" s="38" t="s">
        <v>23</v>
      </c>
      <c r="F40" s="38" t="s">
        <v>18</v>
      </c>
      <c r="G40" s="7">
        <f>HLOOKUP(HLOOKUP(F40,A39:D40,2,0),A44:D46,2,0)</f>
        <v>4</v>
      </c>
      <c r="I40" s="32" t="s">
        <v>51</v>
      </c>
      <c r="J40" s="49"/>
      <c r="K40" s="33"/>
    </row>
    <row r="41" spans="1:12" ht="15" thickBot="1" x14ac:dyDescent="0.35"/>
    <row r="42" spans="1:12" ht="15" thickBot="1" x14ac:dyDescent="0.35">
      <c r="B42" s="59" t="s">
        <v>48</v>
      </c>
    </row>
    <row r="44" spans="1:12" x14ac:dyDescent="0.3">
      <c r="A44" s="34" t="s">
        <v>17</v>
      </c>
      <c r="B44" s="35" t="s">
        <v>21</v>
      </c>
      <c r="C44" s="36" t="s">
        <v>22</v>
      </c>
      <c r="D44" s="35" t="s">
        <v>23</v>
      </c>
    </row>
    <row r="45" spans="1:12" ht="15" thickBot="1" x14ac:dyDescent="0.35">
      <c r="A45" s="40" t="s">
        <v>24</v>
      </c>
      <c r="B45" s="41">
        <v>4</v>
      </c>
      <c r="C45" s="42">
        <v>3</v>
      </c>
      <c r="D45" s="41">
        <v>5</v>
      </c>
      <c r="F45" s="47" t="s">
        <v>36</v>
      </c>
      <c r="G45" s="48" t="s">
        <v>25</v>
      </c>
    </row>
    <row r="46" spans="1:12" ht="15" thickBot="1" x14ac:dyDescent="0.35">
      <c r="A46" s="34" t="s">
        <v>25</v>
      </c>
      <c r="B46" s="35" t="s">
        <v>26</v>
      </c>
      <c r="C46" s="36" t="s">
        <v>27</v>
      </c>
      <c r="D46" s="35" t="s">
        <v>28</v>
      </c>
      <c r="F46" s="9" t="s">
        <v>3</v>
      </c>
      <c r="G46" s="10" t="str">
        <f>(HLOOKUP(HLOOKUP(HLOOKUP(HLOOKUP(F46,A27:D29,2,0),A33:D34,2,0),A38:D40,3,0),A44:D46,3,0))</f>
        <v>60 days</v>
      </c>
      <c r="I46" s="32" t="s">
        <v>53</v>
      </c>
      <c r="J46" s="49"/>
      <c r="K46" s="49"/>
      <c r="L46" s="33"/>
    </row>
  </sheetData>
  <mergeCells count="13">
    <mergeCell ref="I46:L46"/>
    <mergeCell ref="A23:F23"/>
    <mergeCell ref="I28:K28"/>
    <mergeCell ref="I34:L34"/>
    <mergeCell ref="I40:K40"/>
    <mergeCell ref="M19:Q19"/>
    <mergeCell ref="A10:C10"/>
    <mergeCell ref="E10:G10"/>
    <mergeCell ref="I10:K10"/>
    <mergeCell ref="M10:N10"/>
    <mergeCell ref="A19:C19"/>
    <mergeCell ref="E19:G19"/>
    <mergeCell ref="I19:K19"/>
  </mergeCells>
  <phoneticPr fontId="2" type="noConversion"/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choudhary</dc:creator>
  <cp:lastModifiedBy>aamir choudhary</cp:lastModifiedBy>
  <dcterms:created xsi:type="dcterms:W3CDTF">2025-11-11T17:16:35Z</dcterms:created>
  <dcterms:modified xsi:type="dcterms:W3CDTF">2025-11-12T18:40:15Z</dcterms:modified>
</cp:coreProperties>
</file>